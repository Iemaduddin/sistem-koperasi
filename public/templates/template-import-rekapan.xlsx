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DIN\Downloads\REKAP\"/>
    </mc:Choice>
  </mc:AlternateContent>
  <xr:revisionPtr revIDLastSave="0" documentId="13_ncr:1_{AE8500EC-768D-47C0-9BFE-857D336C141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ep24" sheetId="1" r:id="rId1"/>
    <sheet name="okt24" sheetId="7" r:id="rId2"/>
  </sheets>
  <calcPr calcId="191029"/>
</workbook>
</file>

<file path=xl/calcChain.xml><?xml version="1.0" encoding="utf-8"?>
<calcChain xmlns="http://schemas.openxmlformats.org/spreadsheetml/2006/main">
  <c r="BK26" i="7" l="1"/>
  <c r="BM26" i="7" s="1"/>
  <c r="BJ26" i="7"/>
  <c r="BL26" i="7" s="1"/>
  <c r="BK25" i="7"/>
  <c r="BM25" i="7" s="1"/>
  <c r="BJ25" i="7"/>
  <c r="BL25" i="7" s="1"/>
  <c r="BK24" i="7"/>
  <c r="BM24" i="7" s="1"/>
  <c r="BJ24" i="7"/>
  <c r="BL24" i="7" s="1"/>
  <c r="BK23" i="7"/>
  <c r="BM23" i="7" s="1"/>
  <c r="BJ23" i="7"/>
  <c r="BL23" i="7" s="1"/>
  <c r="BK22" i="7"/>
  <c r="BM22" i="7" s="1"/>
  <c r="BJ22" i="7"/>
  <c r="BL22" i="7" s="1"/>
  <c r="BK21" i="7"/>
  <c r="BM21" i="7" s="1"/>
  <c r="BJ21" i="7"/>
  <c r="BL21" i="7" s="1"/>
  <c r="BK20" i="7"/>
  <c r="BM20" i="7" s="1"/>
  <c r="BJ20" i="7"/>
  <c r="BL20" i="7" s="1"/>
  <c r="BK19" i="7"/>
  <c r="BM19" i="7" s="1"/>
  <c r="BJ19" i="7"/>
  <c r="BL19" i="7" s="1"/>
  <c r="BK18" i="7"/>
  <c r="BM18" i="7" s="1"/>
  <c r="BJ18" i="7"/>
  <c r="BL18" i="7" s="1"/>
  <c r="BK17" i="7"/>
  <c r="BM17" i="7" s="1"/>
  <c r="BJ17" i="7"/>
  <c r="BL17" i="7" s="1"/>
  <c r="BK16" i="7"/>
  <c r="BM16" i="7" s="1"/>
  <c r="BJ16" i="7"/>
  <c r="BL16" i="7" s="1"/>
  <c r="BK15" i="7"/>
  <c r="BM15" i="7" s="1"/>
  <c r="BJ15" i="7"/>
  <c r="BL15" i="7" s="1"/>
  <c r="BK14" i="7"/>
  <c r="BM14" i="7" s="1"/>
  <c r="BJ14" i="7"/>
  <c r="BL14" i="7" s="1"/>
  <c r="BK13" i="7"/>
  <c r="BM13" i="7" s="1"/>
  <c r="BJ13" i="7"/>
  <c r="BL13" i="7" s="1"/>
  <c r="BK12" i="7"/>
  <c r="BM12" i="7" s="1"/>
  <c r="BJ12" i="7"/>
  <c r="BL12" i="7" s="1"/>
  <c r="BK11" i="7"/>
  <c r="BM11" i="7" s="1"/>
  <c r="BJ11" i="7"/>
  <c r="BL11" i="7" s="1"/>
  <c r="BK10" i="7"/>
  <c r="BM10" i="7" s="1"/>
  <c r="BJ10" i="7"/>
  <c r="BL10" i="7" s="1"/>
  <c r="BK9" i="7"/>
  <c r="BM9" i="7" s="1"/>
  <c r="BJ9" i="7"/>
  <c r="BL9" i="7" s="1"/>
  <c r="BK8" i="7"/>
  <c r="BM8" i="7" s="1"/>
  <c r="BJ8" i="7"/>
  <c r="BL8" i="7" s="1"/>
  <c r="BK7" i="7"/>
  <c r="BM7" i="7" s="1"/>
  <c r="BJ7" i="7"/>
  <c r="BL7" i="7" s="1"/>
  <c r="BK6" i="7"/>
  <c r="BM6" i="7" s="1"/>
  <c r="BJ6" i="7"/>
  <c r="BL6" i="7" s="1"/>
  <c r="BK5" i="7"/>
  <c r="BM5" i="7" s="1"/>
  <c r="BJ5" i="7"/>
  <c r="BL5" i="7" s="1"/>
  <c r="BK4" i="7"/>
  <c r="BM4" i="7" s="1"/>
  <c r="BJ4" i="7"/>
  <c r="BL4" i="7" s="1"/>
  <c r="BJ4" i="1"/>
  <c r="BL4" i="1" s="1"/>
  <c r="BK4" i="1"/>
  <c r="BJ5" i="1"/>
  <c r="BK5" i="1"/>
  <c r="BM4" i="1" l="1"/>
  <c r="BM5" i="1"/>
  <c r="BL5" i="1"/>
  <c r="BK26" i="1"/>
  <c r="BM26" i="1" s="1"/>
  <c r="BJ26" i="1"/>
  <c r="BL26" i="1" s="1"/>
  <c r="BK25" i="1"/>
  <c r="BM25" i="1" s="1"/>
  <c r="BJ25" i="1"/>
  <c r="BL25" i="1" s="1"/>
  <c r="BK24" i="1"/>
  <c r="BM24" i="1" s="1"/>
  <c r="BJ24" i="1"/>
  <c r="BL24" i="1" s="1"/>
  <c r="BK23" i="1"/>
  <c r="BM23" i="1" s="1"/>
  <c r="BJ23" i="1"/>
  <c r="BL23" i="1" s="1"/>
  <c r="BK22" i="1"/>
  <c r="BM22" i="1" s="1"/>
  <c r="BJ22" i="1"/>
  <c r="BL22" i="1" s="1"/>
  <c r="BK21" i="1"/>
  <c r="BM21" i="1" s="1"/>
  <c r="BJ21" i="1"/>
  <c r="BL21" i="1" s="1"/>
  <c r="BK20" i="1"/>
  <c r="BM20" i="1" s="1"/>
  <c r="BJ20" i="1"/>
  <c r="BL20" i="1" s="1"/>
  <c r="BK19" i="1"/>
  <c r="BM19" i="1" s="1"/>
  <c r="BJ19" i="1"/>
  <c r="BL19" i="1" s="1"/>
  <c r="BK18" i="1"/>
  <c r="BJ18" i="1"/>
  <c r="BL18" i="1" s="1"/>
  <c r="BM18" i="1"/>
  <c r="BK17" i="1"/>
  <c r="BM17" i="1" s="1"/>
  <c r="BJ17" i="1"/>
  <c r="BL17" i="1" s="1"/>
  <c r="BK16" i="1"/>
  <c r="BJ16" i="1"/>
  <c r="BL16" i="1" s="1"/>
  <c r="BM16" i="1"/>
  <c r="BK15" i="1"/>
  <c r="BM15" i="1" s="1"/>
  <c r="BJ15" i="1"/>
  <c r="BL15" i="1" s="1"/>
  <c r="BK14" i="1"/>
  <c r="BM14" i="1" s="1"/>
  <c r="BJ14" i="1"/>
  <c r="BL14" i="1" s="1"/>
  <c r="BK13" i="1"/>
  <c r="BM13" i="1" s="1"/>
  <c r="BJ13" i="1"/>
  <c r="BL13" i="1" s="1"/>
  <c r="BK12" i="1"/>
  <c r="BM12" i="1" s="1"/>
  <c r="BJ12" i="1"/>
  <c r="BL12" i="1" s="1"/>
  <c r="BK11" i="1"/>
  <c r="BM11" i="1" s="1"/>
  <c r="BJ11" i="1"/>
  <c r="BL11" i="1" s="1"/>
  <c r="BK10" i="1"/>
  <c r="BM10" i="1" s="1"/>
  <c r="BJ10" i="1"/>
  <c r="BL10" i="1" s="1"/>
  <c r="BK9" i="1"/>
  <c r="BM9" i="1" s="1"/>
  <c r="BJ9" i="1"/>
  <c r="BL9" i="1" s="1"/>
  <c r="BK8" i="1"/>
  <c r="BM8" i="1" s="1"/>
  <c r="BJ8" i="1"/>
  <c r="BL8" i="1" s="1"/>
  <c r="BK7" i="1"/>
  <c r="BM7" i="1" s="1"/>
  <c r="BJ7" i="1"/>
  <c r="BL7" i="1" s="1"/>
  <c r="BK6" i="1"/>
  <c r="BM6" i="1" s="1"/>
  <c r="BJ6" i="1"/>
  <c r="BL6" i="1" s="1"/>
</calcChain>
</file>

<file path=xl/sharedStrings.xml><?xml version="1.0" encoding="utf-8"?>
<sst xmlns="http://schemas.openxmlformats.org/spreadsheetml/2006/main" count="176" uniqueCount="29">
  <si>
    <t>NOMOR</t>
  </si>
  <si>
    <t>NAMA</t>
  </si>
  <si>
    <t>TANGGAL MASUK</t>
  </si>
  <si>
    <t>PINJAMAN</t>
  </si>
  <si>
    <t>ANGSURAN</t>
  </si>
  <si>
    <t>TENOR</t>
  </si>
  <si>
    <t>WAJIB</t>
  </si>
  <si>
    <t>ANGGOTA</t>
  </si>
  <si>
    <t>DAFTAR</t>
  </si>
  <si>
    <t>SUKARELA</t>
  </si>
  <si>
    <t>CHECK</t>
  </si>
  <si>
    <t>LIHAT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</si>
  <si>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</si>
  <si>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</si>
  <si>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</si>
  <si>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</si>
  <si>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</si>
  <si>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</si>
  <si>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</si>
  <si>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</si>
  <si>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</si>
  <si>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</si>
  <si>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</si>
  <si>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</si>
  <si>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NAMA ANGGOTA 1</t>
  </si>
  <si>
    <t>NAMA ANGGOTA 2</t>
  </si>
  <si>
    <t>02.21.xxx</t>
  </si>
  <si>
    <t>NAMA ANGGOTA 3</t>
  </si>
  <si>
    <t>NAMA ANGGOTA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</si>
</sst>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[$-409]d\-mmm\-yy;@"/>
    <numFmt numFmtId="166" formatCode="_([$Rp-421]* #,##0_);_([$Rp-421]* \(#,##0\);_([$Rp-421]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2"/>
  <sheetViews>
    <sheetView zoomScale="109" workbookViewId="0">
      <pane xSplit="2" topLeftCell="C1" activePane="topRight" state="frozen"/>
      <selection pane="topRight" activeCell="B9" sqref="B9"/>
    </sheetView>
  </sheetViews>
  <sheetFormatPr defaultRowHeight="14.5" x14ac:dyDescent="0.35"/>
  <cols>
    <col min="1" max="1" width="14.81640625" style="1" customWidth="1"/>
    <col min="2" max="2" width="25.81640625" style="3" customWidth="1"/>
    <col min="3" max="3" width="12.1796875" style="4" customWidth="1"/>
    <col min="4" max="4" width="15.54296875" style="5" customWidth="1"/>
    <col min="5" max="5" width="14.54296875" style="5" customWidth="1"/>
    <col min="6" max="6" width="7.81640625" style="1" customWidth="1"/>
    <col min="7" max="60" width="13.81640625" customWidth="1"/>
    <col min="62" max="62" width="16.453125" hidden="1" customWidth="1"/>
    <col min="63" max="65" width="13.81640625" hidden="1" customWidth="1"/>
    <col min="66" max="66" width="16.36328125" bestFit="1" customWidth="1"/>
    <col min="67" max="67" width="14.08984375" bestFit="1" customWidth="1"/>
  </cols>
  <sheetData>
    <row r="1" spans="1:67" ht="15" thickBot="1" x14ac:dyDescent="0.4">
      <c r="A1" s="19" t="s">
        <v>0</v>
      </c>
      <c r="B1" s="19" t="s">
        <v>1</v>
      </c>
      <c r="C1" s="22" t="s">
        <v>2</v>
      </c>
      <c r="D1" s="19" t="s">
        <v>3</v>
      </c>
      <c r="E1" s="19" t="s">
        <v>4</v>
      </c>
      <c r="F1" s="19" t="s">
        <v>5</v>
      </c>
      <c r="G1" s="33" t="s">
        <v>8</v>
      </c>
      <c r="H1" s="34"/>
      <c r="I1" s="35"/>
      <c r="J1" s="25"/>
      <c r="K1" s="25"/>
      <c r="L1" s="25"/>
      <c r="M1" s="25"/>
      <c r="N1" s="25"/>
      <c r="O1" s="25"/>
      <c r="P1" s="25"/>
      <c r="Q1" s="25"/>
      <c r="R1" s="26"/>
      <c r="S1" s="27">
        <v>2025</v>
      </c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9"/>
      <c r="BC1" s="30">
        <v>2026</v>
      </c>
      <c r="BD1" s="31"/>
      <c r="BE1" s="31"/>
      <c r="BF1" s="31"/>
      <c r="BG1" s="31"/>
      <c r="BH1" s="32"/>
      <c r="BN1" s="12"/>
      <c r="BO1" s="12"/>
    </row>
    <row r="2" spans="1:67" ht="15" thickBot="1" x14ac:dyDescent="0.4">
      <c r="A2" s="20"/>
      <c r="B2" s="20"/>
      <c r="C2" s="23"/>
      <c r="D2" s="20"/>
      <c r="E2" s="20"/>
      <c r="F2" s="20"/>
      <c r="G2" s="36"/>
      <c r="H2" s="37"/>
      <c r="I2" s="38"/>
      <c r="J2" s="16" t="s">
        <v>13</v>
      </c>
      <c r="K2" s="17"/>
      <c r="L2" s="18"/>
      <c r="M2" s="16" t="s">
        <v>14</v>
      </c>
      <c r="N2" s="17"/>
      <c r="O2" s="18"/>
      <c r="P2" s="16" t="s">
        <v>15</v>
      </c>
      <c r="Q2" s="17"/>
      <c r="R2" s="18"/>
      <c r="S2" s="16" t="s">
        <v>16</v>
      </c>
      <c r="T2" s="17"/>
      <c r="U2" s="18"/>
      <c r="V2" s="16" t="s">
        <v>17</v>
      </c>
      <c r="W2" s="17"/>
      <c r="X2" s="18"/>
      <c r="Y2" s="16" t="s">
        <v>18</v>
      </c>
      <c r="Z2" s="17"/>
      <c r="AA2" s="18"/>
      <c r="AB2" s="16" t="s">
        <v>19</v>
      </c>
      <c r="AC2" s="17"/>
      <c r="AD2" s="18"/>
      <c r="AE2" s="16" t="s">
        <v>20</v>
      </c>
      <c r="AF2" s="17"/>
      <c r="AG2" s="18"/>
      <c r="AH2" s="16" t="s">
        <v>21</v>
      </c>
      <c r="AI2" s="17"/>
      <c r="AJ2" s="18"/>
      <c r="AK2" s="16" t="s">
        <v>22</v>
      </c>
      <c r="AL2" s="17"/>
      <c r="AM2" s="18"/>
      <c r="AN2" s="16" t="s">
        <v>23</v>
      </c>
      <c r="AO2" s="17"/>
      <c r="AP2" s="18"/>
      <c r="AQ2" s="16" t="s">
        <v>12</v>
      </c>
      <c r="AR2" s="17"/>
      <c r="AS2" s="18"/>
      <c r="AT2" s="16" t="s">
        <v>13</v>
      </c>
      <c r="AU2" s="17"/>
      <c r="AV2" s="18"/>
      <c r="AW2" s="16" t="s">
        <v>14</v>
      </c>
      <c r="AX2" s="17"/>
      <c r="AY2" s="18"/>
      <c r="AZ2" s="16" t="s">
        <v>15</v>
      </c>
      <c r="BA2" s="17"/>
      <c r="BB2" s="18"/>
      <c r="BC2" s="16" t="s">
        <v>16</v>
      </c>
      <c r="BD2" s="17"/>
      <c r="BE2" s="18"/>
      <c r="BF2" s="16" t="s">
        <v>17</v>
      </c>
      <c r="BG2" s="17"/>
      <c r="BH2" s="18"/>
      <c r="BJ2" s="13" t="s">
        <v>10</v>
      </c>
      <c r="BK2" s="13"/>
      <c r="BL2" s="13" t="s">
        <v>11</v>
      </c>
      <c r="BM2" s="14"/>
      <c r="BN2" s="12"/>
      <c r="BO2" s="12"/>
    </row>
    <row r="3" spans="1:67" ht="15" thickBot="1" x14ac:dyDescent="0.4">
      <c r="A3" s="21"/>
      <c r="B3" s="21"/>
      <c r="C3" s="24"/>
      <c r="D3" s="21"/>
      <c r="E3" s="21"/>
      <c r="F3" s="21"/>
      <c r="G3" s="10" t="s">
        <v>7</v>
      </c>
      <c r="H3" s="10" t="s">
        <v>6</v>
      </c>
      <c r="I3" s="10" t="s">
        <v>9</v>
      </c>
      <c r="J3" s="10" t="s">
        <v>4</v>
      </c>
      <c r="K3" s="10" t="s">
        <v>6</v>
      </c>
      <c r="L3" s="10" t="s">
        <v>9</v>
      </c>
      <c r="M3" s="10" t="s">
        <v>4</v>
      </c>
      <c r="N3" s="10" t="s">
        <v>6</v>
      </c>
      <c r="O3" s="10" t="s">
        <v>9</v>
      </c>
      <c r="P3" s="10" t="s">
        <v>4</v>
      </c>
      <c r="Q3" s="10" t="s">
        <v>6</v>
      </c>
      <c r="R3" s="10" t="s">
        <v>9</v>
      </c>
      <c r="S3" s="10" t="s">
        <v>4</v>
      </c>
      <c r="T3" s="10" t="s">
        <v>6</v>
      </c>
      <c r="U3" s="10" t="s">
        <v>9</v>
      </c>
      <c r="V3" s="10" t="s">
        <v>4</v>
      </c>
      <c r="W3" s="10" t="s">
        <v>6</v>
      </c>
      <c r="X3" s="10" t="s">
        <v>9</v>
      </c>
      <c r="Y3" s="10" t="s">
        <v>4</v>
      </c>
      <c r="Z3" s="10" t="s">
        <v>6</v>
      </c>
      <c r="AA3" s="10" t="s">
        <v>9</v>
      </c>
      <c r="AB3" s="10" t="s">
        <v>4</v>
      </c>
      <c r="AC3" s="10" t="s">
        <v>6</v>
      </c>
      <c r="AD3" s="10" t="s">
        <v>9</v>
      </c>
      <c r="AE3" s="10" t="s">
        <v>4</v>
      </c>
      <c r="AF3" s="10" t="s">
        <v>6</v>
      </c>
      <c r="AG3" s="10" t="s">
        <v>9</v>
      </c>
      <c r="AH3" s="10" t="s">
        <v>4</v>
      </c>
      <c r="AI3" s="10" t="s">
        <v>6</v>
      </c>
      <c r="AJ3" s="10" t="s">
        <v>9</v>
      </c>
      <c r="AK3" s="10" t="s">
        <v>4</v>
      </c>
      <c r="AL3" s="10" t="s">
        <v>6</v>
      </c>
      <c r="AM3" s="10" t="s">
        <v>9</v>
      </c>
      <c r="AN3" s="10" t="s">
        <v>4</v>
      </c>
      <c r="AO3" s="10" t="s">
        <v>6</v>
      </c>
      <c r="AP3" s="10" t="s">
        <v>9</v>
      </c>
      <c r="AQ3" s="10" t="s">
        <v>4</v>
      </c>
      <c r="AR3" s="10" t="s">
        <v>6</v>
      </c>
      <c r="AS3" s="10" t="s">
        <v>9</v>
      </c>
      <c r="AT3" s="10" t="s">
        <v>4</v>
      </c>
      <c r="AU3" s="10" t="s">
        <v>6</v>
      </c>
      <c r="AV3" s="10" t="s">
        <v>9</v>
      </c>
      <c r="AW3" s="10" t="s">
        <v>4</v>
      </c>
      <c r="AX3" s="10" t="s">
        <v>6</v>
      </c>
      <c r="AY3" s="10" t="s">
        <v>9</v>
      </c>
      <c r="AZ3" s="10" t="s">
        <v>4</v>
      </c>
      <c r="BA3" s="10" t="s">
        <v>6</v>
      </c>
      <c r="BB3" s="10" t="s">
        <v>9</v>
      </c>
      <c r="BC3" s="10" t="s">
        <v>4</v>
      </c>
      <c r="BD3" s="10" t="s">
        <v>6</v>
      </c>
      <c r="BE3" s="10" t="s">
        <v>9</v>
      </c>
      <c r="BF3" s="10" t="s">
        <v>4</v>
      </c>
      <c r="BG3" s="10" t="s">
        <v>6</v>
      </c>
      <c r="BH3" s="10" t="s">
        <v>9</v>
      </c>
      <c r="BJ3" s="2" t="s">
        <v>3</v>
      </c>
      <c r="BK3" s="2" t="s">
        <v>6</v>
      </c>
      <c r="BL3" s="2" t="s">
        <v>3</v>
      </c>
      <c r="BM3" s="11" t="s">
        <v>6</v>
      </c>
    </row>
    <row r="4" spans="1:67" x14ac:dyDescent="0.35">
      <c r="A4" s="6" t="s">
        <v>26</v>
      </c>
      <c r="B4" s="7" t="s">
        <v>24</v>
      </c>
      <c r="C4" s="8">
        <v>45544</v>
      </c>
      <c r="D4" s="9">
        <v>10000000</v>
      </c>
      <c r="E4" s="9">
        <v>1184000</v>
      </c>
      <c r="F4" s="6">
        <v>12</v>
      </c>
      <c r="G4" s="9">
        <v>100000</v>
      </c>
      <c r="H4" s="9">
        <v>25000</v>
      </c>
      <c r="I4" s="9">
        <v>25000</v>
      </c>
      <c r="J4" s="9">
        <v>1184000</v>
      </c>
      <c r="K4" s="9">
        <v>83000</v>
      </c>
      <c r="L4" s="9">
        <v>0</v>
      </c>
      <c r="M4" s="9">
        <v>1184000</v>
      </c>
      <c r="N4" s="9">
        <v>25000</v>
      </c>
      <c r="O4" s="9">
        <v>0</v>
      </c>
      <c r="P4" s="9">
        <v>1184000</v>
      </c>
      <c r="Q4" s="9">
        <v>25000</v>
      </c>
      <c r="R4" s="9">
        <v>25000</v>
      </c>
      <c r="S4" s="9">
        <v>1184000</v>
      </c>
      <c r="T4" s="9">
        <v>25000</v>
      </c>
      <c r="U4" s="9">
        <v>25000</v>
      </c>
      <c r="V4" s="9">
        <v>1184000</v>
      </c>
      <c r="W4" s="9">
        <v>25000</v>
      </c>
      <c r="X4" s="9">
        <v>25000</v>
      </c>
      <c r="Y4" s="9">
        <v>1184000</v>
      </c>
      <c r="Z4" s="9">
        <v>25000</v>
      </c>
      <c r="AA4" s="9">
        <v>0</v>
      </c>
      <c r="AB4" s="9">
        <v>1184000</v>
      </c>
      <c r="AC4" s="9">
        <v>25000</v>
      </c>
      <c r="AD4" s="9">
        <v>0</v>
      </c>
      <c r="AE4" s="9">
        <v>1184000</v>
      </c>
      <c r="AF4" s="9">
        <v>25000</v>
      </c>
      <c r="AG4" s="9">
        <v>0</v>
      </c>
      <c r="AH4" s="9">
        <v>1184000</v>
      </c>
      <c r="AI4" s="9">
        <v>25000</v>
      </c>
      <c r="AJ4" s="9">
        <v>25000</v>
      </c>
      <c r="AK4" s="9">
        <v>1184000</v>
      </c>
      <c r="AL4" s="9">
        <v>0</v>
      </c>
      <c r="AM4" s="9">
        <v>0</v>
      </c>
      <c r="AN4" s="9">
        <v>1184000</v>
      </c>
      <c r="AO4" s="9">
        <v>0</v>
      </c>
      <c r="AP4" s="9">
        <v>0</v>
      </c>
      <c r="AQ4" s="9">
        <v>1184000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J4" s="5">
        <f>E4*F4</f>
        <v>14208000</v>
      </c>
      <c r="BK4" s="5">
        <f>25000*13</f>
        <v>325000</v>
      </c>
      <c r="BL4" s="5" t="e">
        <f>#REF!-BJ4</f>
        <v>#REF!</v>
      </c>
      <c r="BM4" s="5" t="e">
        <f>#REF!-BK4</f>
        <v>#REF!</v>
      </c>
    </row>
    <row r="5" spans="1:67" x14ac:dyDescent="0.35">
      <c r="A5" s="6" t="s">
        <v>26</v>
      </c>
      <c r="B5" s="7" t="s">
        <v>25</v>
      </c>
      <c r="C5" s="8">
        <v>45544</v>
      </c>
      <c r="D5" s="9">
        <v>1000000</v>
      </c>
      <c r="E5" s="9">
        <v>130000</v>
      </c>
      <c r="F5" s="6">
        <v>10</v>
      </c>
      <c r="G5" s="9">
        <v>100000</v>
      </c>
      <c r="H5" s="9">
        <v>25000</v>
      </c>
      <c r="I5" s="9">
        <v>25000</v>
      </c>
      <c r="J5" s="9">
        <v>130000</v>
      </c>
      <c r="K5" s="9">
        <v>25000</v>
      </c>
      <c r="L5" s="9">
        <v>0</v>
      </c>
      <c r="M5" s="9">
        <v>130000</v>
      </c>
      <c r="N5" s="9">
        <v>25000</v>
      </c>
      <c r="O5" s="9">
        <v>0</v>
      </c>
      <c r="P5" s="9">
        <v>130000</v>
      </c>
      <c r="Q5" s="9">
        <v>25000</v>
      </c>
      <c r="R5" s="9">
        <v>0</v>
      </c>
      <c r="S5" s="9">
        <v>130000</v>
      </c>
      <c r="T5" s="9">
        <v>25000</v>
      </c>
      <c r="U5" s="9">
        <v>0</v>
      </c>
      <c r="V5" s="9">
        <v>130000</v>
      </c>
      <c r="W5" s="9">
        <v>25000</v>
      </c>
      <c r="X5" s="9">
        <v>0</v>
      </c>
      <c r="Y5" s="9">
        <v>130000</v>
      </c>
      <c r="Z5" s="9">
        <v>25000</v>
      </c>
      <c r="AA5" s="9">
        <v>0</v>
      </c>
      <c r="AB5" s="9">
        <v>130000</v>
      </c>
      <c r="AC5" s="9">
        <v>25000</v>
      </c>
      <c r="AD5" s="9">
        <v>0</v>
      </c>
      <c r="AE5" s="9">
        <v>130000</v>
      </c>
      <c r="AF5" s="9">
        <v>0</v>
      </c>
      <c r="AG5" s="9">
        <v>0</v>
      </c>
      <c r="AH5" s="9">
        <v>130000</v>
      </c>
      <c r="AI5" s="9">
        <v>0</v>
      </c>
      <c r="AJ5" s="9">
        <v>0</v>
      </c>
      <c r="AK5" s="9">
        <v>130000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J5" s="5">
        <f>E5*F5</f>
        <v>1300000</v>
      </c>
      <c r="BK5" s="5">
        <f>25000*11</f>
        <v>275000</v>
      </c>
      <c r="BL5" s="5" t="e">
        <f>#REF!-BJ5</f>
        <v>#REF!</v>
      </c>
      <c r="BM5" s="5" t="e">
        <f>#REF!-BK5</f>
        <v>#REF!</v>
      </c>
    </row>
    <row r="6" spans="1:67" ht="23.25" customHeight="1" x14ac:dyDescent="0.35">
      <c r="A6" s="15"/>
      <c r="B6" s="15"/>
      <c r="C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J6" s="5">
        <f>E6*F6</f>
        <v>0</v>
      </c>
      <c r="BK6" s="5">
        <f t="shared" ref="BK6:BK26" si="0">25000*7</f>
        <v>175000</v>
      </c>
      <c r="BL6" s="5" t="e">
        <f>#REF!-BJ6</f>
        <v>#REF!</v>
      </c>
      <c r="BM6" s="5" t="e">
        <f>#REF!-BK6</f>
        <v>#REF!</v>
      </c>
      <c r="BN6" s="5"/>
      <c r="BO6" s="5"/>
    </row>
    <row r="7" spans="1:67" x14ac:dyDescent="0.35"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J7" s="5">
        <f>E7*F7</f>
        <v>0</v>
      </c>
      <c r="BK7" s="5">
        <f t="shared" si="0"/>
        <v>175000</v>
      </c>
      <c r="BL7" s="5" t="e">
        <f>#REF!-BJ7</f>
        <v>#REF!</v>
      </c>
      <c r="BM7" s="5" t="e">
        <f>#REF!-BK7</f>
        <v>#REF!</v>
      </c>
      <c r="BN7" s="5"/>
      <c r="BO7" s="5"/>
    </row>
    <row r="8" spans="1:67" x14ac:dyDescent="0.35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J8" s="5">
        <f>E8*F8</f>
        <v>0</v>
      </c>
      <c r="BK8" s="5">
        <f t="shared" si="0"/>
        <v>175000</v>
      </c>
      <c r="BL8" s="5" t="e">
        <f>#REF!-BJ8</f>
        <v>#REF!</v>
      </c>
      <c r="BM8" s="5" t="e">
        <f>#REF!-BK8</f>
        <v>#REF!</v>
      </c>
      <c r="BN8" s="5"/>
      <c r="BO8" s="5"/>
    </row>
    <row r="9" spans="1:67" x14ac:dyDescent="0.35"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J9" s="5">
        <f>E9*F9</f>
        <v>0</v>
      </c>
      <c r="BK9" s="5">
        <f t="shared" si="0"/>
        <v>175000</v>
      </c>
      <c r="BL9" s="5" t="e">
        <f>#REF!-BJ9</f>
        <v>#REF!</v>
      </c>
      <c r="BM9" s="5" t="e">
        <f>#REF!-BK9</f>
        <v>#REF!</v>
      </c>
    </row>
    <row r="10" spans="1:67" x14ac:dyDescent="0.35"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J10" s="5">
        <f>E10*F10</f>
        <v>0</v>
      </c>
      <c r="BK10" s="5">
        <f t="shared" si="0"/>
        <v>175000</v>
      </c>
      <c r="BL10" s="5" t="e">
        <f>#REF!-BJ10</f>
        <v>#REF!</v>
      </c>
      <c r="BM10" s="5" t="e">
        <f>#REF!-BK10</f>
        <v>#REF!</v>
      </c>
    </row>
    <row r="11" spans="1:67" x14ac:dyDescent="0.35"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J11" s="5">
        <f>E11*F11</f>
        <v>0</v>
      </c>
      <c r="BK11" s="5">
        <f t="shared" si="0"/>
        <v>175000</v>
      </c>
      <c r="BL11" s="5" t="e">
        <f>#REF!-BJ11</f>
        <v>#REF!</v>
      </c>
      <c r="BM11" s="5" t="e">
        <f>#REF!-BK11</f>
        <v>#REF!</v>
      </c>
    </row>
    <row r="12" spans="1:67" x14ac:dyDescent="0.35"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J12" s="5">
        <f>E12*F12</f>
        <v>0</v>
      </c>
      <c r="BK12" s="5">
        <f t="shared" si="0"/>
        <v>175000</v>
      </c>
      <c r="BL12" s="5" t="e">
        <f>#REF!-BJ12</f>
        <v>#REF!</v>
      </c>
      <c r="BM12" s="5" t="e">
        <f>#REF!-BK12</f>
        <v>#REF!</v>
      </c>
    </row>
    <row r="13" spans="1:67" x14ac:dyDescent="0.35"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J13" s="5">
        <f>E13*F13</f>
        <v>0</v>
      </c>
      <c r="BK13" s="5">
        <f t="shared" si="0"/>
        <v>175000</v>
      </c>
      <c r="BL13" s="5" t="e">
        <f>#REF!-BJ13</f>
        <v>#REF!</v>
      </c>
      <c r="BM13" s="5" t="e">
        <f>#REF!-BK13</f>
        <v>#REF!</v>
      </c>
    </row>
    <row r="14" spans="1:67" x14ac:dyDescent="0.35"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J14" s="5">
        <f>E14*F14</f>
        <v>0</v>
      </c>
      <c r="BK14" s="5">
        <f t="shared" si="0"/>
        <v>175000</v>
      </c>
      <c r="BL14" s="5" t="e">
        <f>#REF!-BJ14</f>
        <v>#REF!</v>
      </c>
      <c r="BM14" s="5" t="e">
        <f>#REF!-BK14</f>
        <v>#REF!</v>
      </c>
    </row>
    <row r="15" spans="1:67" x14ac:dyDescent="0.35"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J15" s="5">
        <f>E15*F15</f>
        <v>0</v>
      </c>
      <c r="BK15" s="5">
        <f t="shared" si="0"/>
        <v>175000</v>
      </c>
      <c r="BL15" s="5" t="e">
        <f>#REF!-BJ15</f>
        <v>#REF!</v>
      </c>
      <c r="BM15" s="5" t="e">
        <f>#REF!-BK15</f>
        <v>#REF!</v>
      </c>
    </row>
    <row r="16" spans="1:67" x14ac:dyDescent="0.35"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J16" s="5">
        <f>E16*F16</f>
        <v>0</v>
      </c>
      <c r="BK16" s="5">
        <f t="shared" si="0"/>
        <v>175000</v>
      </c>
      <c r="BL16" s="5" t="e">
        <f>#REF!-BJ16</f>
        <v>#REF!</v>
      </c>
      <c r="BM16" s="5" t="e">
        <f>#REF!-BK16</f>
        <v>#REF!</v>
      </c>
    </row>
    <row r="17" spans="7:65" x14ac:dyDescent="0.35"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J17" s="5">
        <f>E17*F17</f>
        <v>0</v>
      </c>
      <c r="BK17" s="5">
        <f t="shared" si="0"/>
        <v>175000</v>
      </c>
      <c r="BL17" s="5" t="e">
        <f>#REF!-BJ17</f>
        <v>#REF!</v>
      </c>
      <c r="BM17" s="5" t="e">
        <f>#REF!-BK17</f>
        <v>#REF!</v>
      </c>
    </row>
    <row r="18" spans="7:65" x14ac:dyDescent="0.35"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J18" s="5">
        <f>E18*F18</f>
        <v>0</v>
      </c>
      <c r="BK18" s="5">
        <f t="shared" si="0"/>
        <v>175000</v>
      </c>
      <c r="BL18" s="5" t="e">
        <f>#REF!-BJ18</f>
        <v>#REF!</v>
      </c>
      <c r="BM18" s="5" t="e">
        <f>#REF!-BK18</f>
        <v>#REF!</v>
      </c>
    </row>
    <row r="19" spans="7:65" x14ac:dyDescent="0.35"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J19" s="5">
        <f>E19*F19</f>
        <v>0</v>
      </c>
      <c r="BK19" s="5">
        <f t="shared" si="0"/>
        <v>175000</v>
      </c>
      <c r="BL19" s="5" t="e">
        <f>#REF!-BJ19</f>
        <v>#REF!</v>
      </c>
      <c r="BM19" s="5" t="e">
        <f>#REF!-BK19</f>
        <v>#REF!</v>
      </c>
    </row>
    <row r="20" spans="7:65" x14ac:dyDescent="0.35"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J20" s="5">
        <f>E20*F20</f>
        <v>0</v>
      </c>
      <c r="BK20" s="5">
        <f t="shared" si="0"/>
        <v>175000</v>
      </c>
      <c r="BL20" s="5" t="e">
        <f>#REF!-BJ20</f>
        <v>#REF!</v>
      </c>
      <c r="BM20" s="5" t="e">
        <f>#REF!-BK20</f>
        <v>#REF!</v>
      </c>
    </row>
    <row r="21" spans="7:65" x14ac:dyDescent="0.35"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J21" s="5">
        <f>E21*F21</f>
        <v>0</v>
      </c>
      <c r="BK21" s="5">
        <f t="shared" si="0"/>
        <v>175000</v>
      </c>
      <c r="BL21" s="5" t="e">
        <f>#REF!-BJ21</f>
        <v>#REF!</v>
      </c>
      <c r="BM21" s="5" t="e">
        <f>#REF!-BK21</f>
        <v>#REF!</v>
      </c>
    </row>
    <row r="22" spans="7:65" x14ac:dyDescent="0.35"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J22" s="5">
        <f>E22*F22</f>
        <v>0</v>
      </c>
      <c r="BK22" s="5">
        <f t="shared" si="0"/>
        <v>175000</v>
      </c>
      <c r="BL22" s="5" t="e">
        <f>#REF!-BJ22</f>
        <v>#REF!</v>
      </c>
      <c r="BM22" s="5" t="e">
        <f>#REF!-BK22</f>
        <v>#REF!</v>
      </c>
    </row>
    <row r="23" spans="7:65" x14ac:dyDescent="0.35"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J23" s="5">
        <f>E23*F23</f>
        <v>0</v>
      </c>
      <c r="BK23" s="5">
        <f t="shared" si="0"/>
        <v>175000</v>
      </c>
      <c r="BL23" s="5" t="e">
        <f>#REF!-BJ23</f>
        <v>#REF!</v>
      </c>
      <c r="BM23" s="5" t="e">
        <f>#REF!-BK23</f>
        <v>#REF!</v>
      </c>
    </row>
    <row r="24" spans="7:65" x14ac:dyDescent="0.35"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J24" s="5">
        <f>E24*F24</f>
        <v>0</v>
      </c>
      <c r="BK24" s="5">
        <f t="shared" si="0"/>
        <v>175000</v>
      </c>
      <c r="BL24" s="5" t="e">
        <f>#REF!-BJ24</f>
        <v>#REF!</v>
      </c>
      <c r="BM24" s="5" t="e">
        <f>#REF!-BK24</f>
        <v>#REF!</v>
      </c>
    </row>
    <row r="25" spans="7:65" x14ac:dyDescent="0.35"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J25" s="5">
        <f>E25*F25</f>
        <v>0</v>
      </c>
      <c r="BK25" s="5">
        <f t="shared" si="0"/>
        <v>175000</v>
      </c>
      <c r="BL25" s="5" t="e">
        <f>#REF!-BJ25</f>
        <v>#REF!</v>
      </c>
      <c r="BM25" s="5" t="e">
        <f>#REF!-BK25</f>
        <v>#REF!</v>
      </c>
    </row>
    <row r="26" spans="7:65" x14ac:dyDescent="0.35"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J26" s="5">
        <f>E26*F26</f>
        <v>0</v>
      </c>
      <c r="BK26" s="5">
        <f t="shared" si="0"/>
        <v>175000</v>
      </c>
      <c r="BL26" s="5" t="e">
        <f>#REF!-BJ26</f>
        <v>#REF!</v>
      </c>
      <c r="BM26" s="5" t="e">
        <f>#REF!-BK26</f>
        <v>#REF!</v>
      </c>
    </row>
    <row r="27" spans="7:65" x14ac:dyDescent="0.35"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J27" s="5"/>
      <c r="BK27" s="5"/>
      <c r="BL27" s="5"/>
      <c r="BM27" s="5"/>
    </row>
    <row r="28" spans="7:65" x14ac:dyDescent="0.35"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J28" s="5"/>
      <c r="BK28" s="5"/>
      <c r="BL28" s="5"/>
      <c r="BM28" s="5"/>
    </row>
    <row r="29" spans="7:65" x14ac:dyDescent="0.35"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J29" s="5"/>
      <c r="BK29" s="5"/>
      <c r="BL29" s="5"/>
      <c r="BM29" s="5"/>
    </row>
    <row r="30" spans="7:65" x14ac:dyDescent="0.35"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J30" s="5"/>
      <c r="BK30" s="5"/>
      <c r="BL30" s="5"/>
      <c r="BM30" s="5"/>
    </row>
    <row r="31" spans="7:65" x14ac:dyDescent="0.35"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J31" s="5"/>
      <c r="BK31" s="5"/>
      <c r="BL31" s="5"/>
      <c r="BM31" s="5"/>
    </row>
    <row r="32" spans="7:65" x14ac:dyDescent="0.35"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J32" s="5"/>
      <c r="BK32" s="5"/>
      <c r="BL32" s="5"/>
      <c r="BM32" s="5"/>
    </row>
  </sheetData>
  <mergeCells count="30">
    <mergeCell ref="J1:R1"/>
    <mergeCell ref="S1:BB1"/>
    <mergeCell ref="BC1:BH1"/>
    <mergeCell ref="G1:I2"/>
    <mergeCell ref="BC2:BE2"/>
    <mergeCell ref="BF2:BH2"/>
    <mergeCell ref="AB2:AD2"/>
    <mergeCell ref="AE2:AG2"/>
    <mergeCell ref="AH2:AJ2"/>
    <mergeCell ref="J2:L2"/>
    <mergeCell ref="M2:O2"/>
    <mergeCell ref="P2:R2"/>
    <mergeCell ref="S2:U2"/>
    <mergeCell ref="V2:X2"/>
    <mergeCell ref="BJ2:BK2"/>
    <mergeCell ref="BL2:BM2"/>
    <mergeCell ref="A6:C6"/>
    <mergeCell ref="AK2:AM2"/>
    <mergeCell ref="AN2:AP2"/>
    <mergeCell ref="AQ2:AS2"/>
    <mergeCell ref="AT2:AV2"/>
    <mergeCell ref="B1:B3"/>
    <mergeCell ref="A1:A3"/>
    <mergeCell ref="C1:C3"/>
    <mergeCell ref="D1:D3"/>
    <mergeCell ref="E1:E3"/>
    <mergeCell ref="F1:F3"/>
    <mergeCell ref="AW2:AY2"/>
    <mergeCell ref="AZ2:BB2"/>
    <mergeCell ref="Y2:AA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4F99-EDA1-4E78-921C-4129CE588DC0}">
  <dimension ref="A1:BU32"/>
  <sheetViews>
    <sheetView tabSelected="1" zoomScale="109" workbookViewId="0">
      <pane xSplit="2" topLeftCell="C1" activePane="topRight" state="frozen"/>
      <selection pane="topRight" activeCell="F14" sqref="F14"/>
    </sheetView>
  </sheetViews>
  <sheetFormatPr defaultRowHeight="14.5" x14ac:dyDescent="0.35"/>
  <cols>
    <col min="1" max="1" width="14.81640625" style="1" customWidth="1"/>
    <col min="2" max="2" width="25.81640625" style="3" customWidth="1"/>
    <col min="3" max="3" width="12.1796875" style="4" customWidth="1"/>
    <col min="4" max="4" width="15.54296875" style="5" customWidth="1"/>
    <col min="5" max="5" width="14.54296875" style="5" customWidth="1"/>
    <col min="6" max="6" width="7.81640625" style="1" customWidth="1"/>
    <col min="7" max="60" width="13.81640625" customWidth="1"/>
    <col min="62" max="62" width="16.453125" hidden="1" customWidth="1"/>
    <col min="63" max="65" width="13.81640625" hidden="1" customWidth="1"/>
    <col min="66" max="66" width="16.36328125" bestFit="1" customWidth="1"/>
    <col min="67" max="67" width="14.08984375" bestFit="1" customWidth="1"/>
  </cols>
  <sheetData>
    <row r="1" spans="1:67" ht="15" thickBot="1" x14ac:dyDescent="0.4">
      <c r="A1" s="19" t="s">
        <v>0</v>
      </c>
      <c r="B1" s="19" t="s">
        <v>1</v>
      </c>
      <c r="C1" s="22" t="s">
        <v>2</v>
      </c>
      <c r="D1" s="19" t="s">
        <v>3</v>
      </c>
      <c r="E1" s="19" t="s">
        <v>4</v>
      </c>
      <c r="F1" s="19" t="s">
        <v>5</v>
      </c>
      <c r="G1" s="33" t="s">
        <v>8</v>
      </c>
      <c r="H1" s="34"/>
      <c r="I1" s="35"/>
      <c r="J1" s="25"/>
      <c r="K1" s="25"/>
      <c r="L1" s="25"/>
      <c r="M1" s="25"/>
      <c r="N1" s="25"/>
      <c r="O1" s="25"/>
      <c r="P1" s="25"/>
      <c r="Q1" s="25"/>
      <c r="R1" s="26"/>
      <c r="S1" s="27">
        <v>2025</v>
      </c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9"/>
      <c r="BC1" s="30">
        <v>2026</v>
      </c>
      <c r="BD1" s="31"/>
      <c r="BE1" s="31"/>
      <c r="BF1" s="31"/>
      <c r="BG1" s="31"/>
      <c r="BH1" s="32"/>
      <c r="BN1" s="12"/>
      <c r="BO1" s="12"/>
    </row>
    <row r="2" spans="1:67" ht="15" thickBot="1" x14ac:dyDescent="0.4">
      <c r="A2" s="20"/>
      <c r="B2" s="20"/>
      <c r="C2" s="23"/>
      <c r="D2" s="20"/>
      <c r="E2" s="20"/>
      <c r="F2" s="20"/>
      <c r="G2" s="36"/>
      <c r="H2" s="37"/>
      <c r="I2" s="38"/>
      <c r="J2" s="16" t="s">
        <v>13</v>
      </c>
      <c r="K2" s="17"/>
      <c r="L2" s="18"/>
      <c r="M2" s="16" t="s">
        <v>14</v>
      </c>
      <c r="N2" s="17"/>
      <c r="O2" s="18"/>
      <c r="P2" s="16" t="s">
        <v>15</v>
      </c>
      <c r="Q2" s="17"/>
      <c r="R2" s="18"/>
      <c r="S2" s="16" t="s">
        <v>16</v>
      </c>
      <c r="T2" s="17"/>
      <c r="U2" s="18"/>
      <c r="V2" s="16" t="s">
        <v>17</v>
      </c>
      <c r="W2" s="17"/>
      <c r="X2" s="18"/>
      <c r="Y2" s="16" t="s">
        <v>18</v>
      </c>
      <c r="Z2" s="17"/>
      <c r="AA2" s="18"/>
      <c r="AB2" s="16" t="s">
        <v>19</v>
      </c>
      <c r="AC2" s="17"/>
      <c r="AD2" s="18"/>
      <c r="AE2" s="16" t="s">
        <v>20</v>
      </c>
      <c r="AF2" s="17"/>
      <c r="AG2" s="18"/>
      <c r="AH2" s="16" t="s">
        <v>21</v>
      </c>
      <c r="AI2" s="17"/>
      <c r="AJ2" s="18"/>
      <c r="AK2" s="16" t="s">
        <v>22</v>
      </c>
      <c r="AL2" s="17"/>
      <c r="AM2" s="18"/>
      <c r="AN2" s="16" t="s">
        <v>23</v>
      </c>
      <c r="AO2" s="17"/>
      <c r="AP2" s="18"/>
      <c r="AQ2" s="16" t="s">
        <v>12</v>
      </c>
      <c r="AR2" s="17"/>
      <c r="AS2" s="18"/>
      <c r="AT2" s="16" t="s">
        <v>13</v>
      </c>
      <c r="AU2" s="17"/>
      <c r="AV2" s="18"/>
      <c r="AW2" s="16" t="s">
        <v>14</v>
      </c>
      <c r="AX2" s="17"/>
      <c r="AY2" s="18"/>
      <c r="AZ2" s="16" t="s">
        <v>15</v>
      </c>
      <c r="BA2" s="17"/>
      <c r="BB2" s="18"/>
      <c r="BC2" s="16" t="s">
        <v>16</v>
      </c>
      <c r="BD2" s="17"/>
      <c r="BE2" s="18"/>
      <c r="BF2" s="16" t="s">
        <v>17</v>
      </c>
      <c r="BG2" s="17"/>
      <c r="BH2" s="18"/>
      <c r="BJ2" s="13" t="s">
        <v>10</v>
      </c>
      <c r="BK2" s="13"/>
      <c r="BL2" s="13" t="s">
        <v>11</v>
      </c>
      <c r="BM2" s="14"/>
      <c r="BN2" s="12"/>
      <c r="BO2" s="12"/>
    </row>
    <row r="3" spans="1:67" ht="15" thickBot="1" x14ac:dyDescent="0.4">
      <c r="A3" s="21"/>
      <c r="B3" s="21"/>
      <c r="C3" s="24"/>
      <c r="D3" s="21"/>
      <c r="E3" s="21"/>
      <c r="F3" s="21"/>
      <c r="G3" s="10" t="s">
        <v>7</v>
      </c>
      <c r="H3" s="10" t="s">
        <v>6</v>
      </c>
      <c r="I3" s="10" t="s">
        <v>9</v>
      </c>
      <c r="J3" s="10" t="s">
        <v>4</v>
      </c>
      <c r="K3" s="10" t="s">
        <v>6</v>
      </c>
      <c r="L3" s="10" t="s">
        <v>9</v>
      </c>
      <c r="M3" s="10" t="s">
        <v>4</v>
      </c>
      <c r="N3" s="10" t="s">
        <v>6</v>
      </c>
      <c r="O3" s="10" t="s">
        <v>9</v>
      </c>
      <c r="P3" s="10" t="s">
        <v>4</v>
      </c>
      <c r="Q3" s="10" t="s">
        <v>6</v>
      </c>
      <c r="R3" s="10" t="s">
        <v>9</v>
      </c>
      <c r="S3" s="10" t="s">
        <v>4</v>
      </c>
      <c r="T3" s="10" t="s">
        <v>6</v>
      </c>
      <c r="U3" s="10" t="s">
        <v>9</v>
      </c>
      <c r="V3" s="10" t="s">
        <v>4</v>
      </c>
      <c r="W3" s="10" t="s">
        <v>6</v>
      </c>
      <c r="X3" s="10" t="s">
        <v>9</v>
      </c>
      <c r="Y3" s="10" t="s">
        <v>4</v>
      </c>
      <c r="Z3" s="10" t="s">
        <v>6</v>
      </c>
      <c r="AA3" s="10" t="s">
        <v>9</v>
      </c>
      <c r="AB3" s="10" t="s">
        <v>4</v>
      </c>
      <c r="AC3" s="10" t="s">
        <v>6</v>
      </c>
      <c r="AD3" s="10" t="s">
        <v>9</v>
      </c>
      <c r="AE3" s="10" t="s">
        <v>4</v>
      </c>
      <c r="AF3" s="10" t="s">
        <v>6</v>
      </c>
      <c r="AG3" s="10" t="s">
        <v>9</v>
      </c>
      <c r="AH3" s="10" t="s">
        <v>4</v>
      </c>
      <c r="AI3" s="10" t="s">
        <v>6</v>
      </c>
      <c r="AJ3" s="10" t="s">
        <v>9</v>
      </c>
      <c r="AK3" s="10" t="s">
        <v>4</v>
      </c>
      <c r="AL3" s="10" t="s">
        <v>6</v>
      </c>
      <c r="AM3" s="10" t="s">
        <v>9</v>
      </c>
      <c r="AN3" s="10" t="s">
        <v>4</v>
      </c>
      <c r="AO3" s="10" t="s">
        <v>6</v>
      </c>
      <c r="AP3" s="10" t="s">
        <v>9</v>
      </c>
      <c r="AQ3" s="10" t="s">
        <v>4</v>
      </c>
      <c r="AR3" s="10" t="s">
        <v>6</v>
      </c>
      <c r="AS3" s="10" t="s">
        <v>9</v>
      </c>
      <c r="AT3" s="10" t="s">
        <v>4</v>
      </c>
      <c r="AU3" s="10" t="s">
        <v>6</v>
      </c>
      <c r="AV3" s="10" t="s">
        <v>9</v>
      </c>
      <c r="AW3" s="10" t="s">
        <v>4</v>
      </c>
      <c r="AX3" s="10" t="s">
        <v>6</v>
      </c>
      <c r="AY3" s="10" t="s">
        <v>9</v>
      </c>
      <c r="AZ3" s="10" t="s">
        <v>4</v>
      </c>
      <c r="BA3" s="10" t="s">
        <v>6</v>
      </c>
      <c r="BB3" s="10" t="s">
        <v>9</v>
      </c>
      <c r="BC3" s="10" t="s">
        <v>4</v>
      </c>
      <c r="BD3" s="10" t="s">
        <v>6</v>
      </c>
      <c r="BE3" s="10" t="s">
        <v>9</v>
      </c>
      <c r="BF3" s="10" t="s">
        <v>4</v>
      </c>
      <c r="BG3" s="10" t="s">
        <v>6</v>
      </c>
      <c r="BH3" s="10" t="s">
        <v>9</v>
      </c>
      <c r="BJ3" s="2" t="s">
        <v>3</v>
      </c>
      <c r="BK3" s="2" t="s">
        <v>6</v>
      </c>
      <c r="BL3" s="2" t="s">
        <v>3</v>
      </c>
      <c r="BM3" s="11" t="s">
        <v>6</v>
      </c>
    </row>
    <row r="4" spans="1:67" x14ac:dyDescent="0.35">
      <c r="A4" s="6" t="s">
        <v>26</v>
      </c>
      <c r="B4" s="7" t="s">
        <v>27</v>
      </c>
      <c r="C4" s="8">
        <v>45574</v>
      </c>
      <c r="D4" s="9">
        <v>10000000</v>
      </c>
      <c r="E4" s="9">
        <v>1184000</v>
      </c>
      <c r="F4" s="6">
        <v>12</v>
      </c>
      <c r="G4" s="9">
        <v>100000</v>
      </c>
      <c r="H4" s="9">
        <v>25000</v>
      </c>
      <c r="I4" s="9">
        <v>25000</v>
      </c>
      <c r="J4" s="9">
        <v>1184000</v>
      </c>
      <c r="K4" s="9">
        <v>83000</v>
      </c>
      <c r="L4" s="9">
        <v>0</v>
      </c>
      <c r="M4" s="9">
        <v>1184000</v>
      </c>
      <c r="N4" s="9">
        <v>25000</v>
      </c>
      <c r="O4" s="9">
        <v>0</v>
      </c>
      <c r="P4" s="9">
        <v>1184000</v>
      </c>
      <c r="Q4" s="9">
        <v>25000</v>
      </c>
      <c r="R4" s="9">
        <v>25000</v>
      </c>
      <c r="S4" s="9">
        <v>1184000</v>
      </c>
      <c r="T4" s="9">
        <v>25000</v>
      </c>
      <c r="U4" s="9">
        <v>25000</v>
      </c>
      <c r="V4" s="9">
        <v>1184000</v>
      </c>
      <c r="W4" s="9">
        <v>25000</v>
      </c>
      <c r="X4" s="9">
        <v>25000</v>
      </c>
      <c r="Y4" s="9">
        <v>1184000</v>
      </c>
      <c r="Z4" s="9">
        <v>25000</v>
      </c>
      <c r="AA4" s="9">
        <v>0</v>
      </c>
      <c r="AB4" s="9">
        <v>1184000</v>
      </c>
      <c r="AC4" s="9">
        <v>25000</v>
      </c>
      <c r="AD4" s="9">
        <v>0</v>
      </c>
      <c r="AE4" s="9">
        <v>1184000</v>
      </c>
      <c r="AF4" s="9">
        <v>25000</v>
      </c>
      <c r="AG4" s="9">
        <v>0</v>
      </c>
      <c r="AH4" s="9">
        <v>1184000</v>
      </c>
      <c r="AI4" s="9">
        <v>25000</v>
      </c>
      <c r="AJ4" s="9">
        <v>25000</v>
      </c>
      <c r="AK4" s="9">
        <v>1184000</v>
      </c>
      <c r="AL4" s="9">
        <v>0</v>
      </c>
      <c r="AM4" s="9">
        <v>0</v>
      </c>
      <c r="AN4" s="9">
        <v>1184000</v>
      </c>
      <c r="AO4" s="9">
        <v>0</v>
      </c>
      <c r="AP4" s="9">
        <v>0</v>
      </c>
      <c r="AQ4" s="9">
        <v>1184000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J4" s="5">
        <f>E4*F4</f>
        <v>14208000</v>
      </c>
      <c r="BK4" s="5">
        <f>25000*13</f>
        <v>325000</v>
      </c>
      <c r="BL4" s="5" t="e">
        <f>#REF!-BJ4</f>
        <v>#REF!</v>
      </c>
      <c r="BM4" s="5" t="e">
        <f>#REF!-BK4</f>
        <v>#REF!</v>
      </c>
    </row>
    <row r="5" spans="1:67" x14ac:dyDescent="0.35">
      <c r="A5" s="6" t="s">
        <v>26</v>
      </c>
      <c r="B5" s="7" t="s">
        <v>28</v>
      </c>
      <c r="C5" s="8">
        <v>45574</v>
      </c>
      <c r="D5" s="9">
        <v>1000000</v>
      </c>
      <c r="E5" s="9">
        <v>130000</v>
      </c>
      <c r="F5" s="6">
        <v>10</v>
      </c>
      <c r="G5" s="9">
        <v>100000</v>
      </c>
      <c r="H5" s="9">
        <v>25000</v>
      </c>
      <c r="I5" s="9">
        <v>25000</v>
      </c>
      <c r="J5" s="9">
        <v>130000</v>
      </c>
      <c r="K5" s="9">
        <v>25000</v>
      </c>
      <c r="L5" s="9">
        <v>0</v>
      </c>
      <c r="M5" s="9">
        <v>130000</v>
      </c>
      <c r="N5" s="9">
        <v>25000</v>
      </c>
      <c r="O5" s="9">
        <v>0</v>
      </c>
      <c r="P5" s="9">
        <v>130000</v>
      </c>
      <c r="Q5" s="9">
        <v>25000</v>
      </c>
      <c r="R5" s="9">
        <v>0</v>
      </c>
      <c r="S5" s="9">
        <v>130000</v>
      </c>
      <c r="T5" s="9">
        <v>25000</v>
      </c>
      <c r="U5" s="9">
        <v>0</v>
      </c>
      <c r="V5" s="9">
        <v>130000</v>
      </c>
      <c r="W5" s="9">
        <v>25000</v>
      </c>
      <c r="X5" s="9">
        <v>0</v>
      </c>
      <c r="Y5" s="9">
        <v>130000</v>
      </c>
      <c r="Z5" s="9">
        <v>25000</v>
      </c>
      <c r="AA5" s="9">
        <v>0</v>
      </c>
      <c r="AB5" s="9">
        <v>130000</v>
      </c>
      <c r="AC5" s="9">
        <v>25000</v>
      </c>
      <c r="AD5" s="9">
        <v>0</v>
      </c>
      <c r="AE5" s="9">
        <v>130000</v>
      </c>
      <c r="AF5" s="9">
        <v>0</v>
      </c>
      <c r="AG5" s="9">
        <v>0</v>
      </c>
      <c r="AH5" s="9">
        <v>130000</v>
      </c>
      <c r="AI5" s="9">
        <v>0</v>
      </c>
      <c r="AJ5" s="9">
        <v>0</v>
      </c>
      <c r="AK5" s="9">
        <v>130000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J5" s="5">
        <f>E5*F5</f>
        <v>1300000</v>
      </c>
      <c r="BK5" s="5">
        <f>25000*11</f>
        <v>275000</v>
      </c>
      <c r="BL5" s="5" t="e">
        <f>#REF!-BJ5</f>
        <v>#REF!</v>
      </c>
      <c r="BM5" s="5" t="e">
        <f>#REF!-BK5</f>
        <v>#REF!</v>
      </c>
    </row>
    <row r="6" spans="1:67" ht="23.25" customHeight="1" x14ac:dyDescent="0.35">
      <c r="A6" s="15"/>
      <c r="B6" s="15"/>
      <c r="C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J6" s="5">
        <f>E6*F6</f>
        <v>0</v>
      </c>
      <c r="BK6" s="5">
        <f t="shared" ref="BK6:BK26" si="0">25000*7</f>
        <v>175000</v>
      </c>
      <c r="BL6" s="5" t="e">
        <f>#REF!-BJ6</f>
        <v>#REF!</v>
      </c>
      <c r="BM6" s="5" t="e">
        <f>#REF!-BK6</f>
        <v>#REF!</v>
      </c>
      <c r="BN6" s="5"/>
      <c r="BO6" s="5"/>
    </row>
    <row r="7" spans="1:67" x14ac:dyDescent="0.35"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J7" s="5">
        <f>E7*F7</f>
        <v>0</v>
      </c>
      <c r="BK7" s="5">
        <f t="shared" si="0"/>
        <v>175000</v>
      </c>
      <c r="BL7" s="5" t="e">
        <f>#REF!-BJ7</f>
        <v>#REF!</v>
      </c>
      <c r="BM7" s="5" t="e">
        <f>#REF!-BK7</f>
        <v>#REF!</v>
      </c>
      <c r="BN7" s="5"/>
      <c r="BO7" s="5"/>
    </row>
    <row r="8" spans="1:67" x14ac:dyDescent="0.35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J8" s="5">
        <f>E8*F8</f>
        <v>0</v>
      </c>
      <c r="BK8" s="5">
        <f t="shared" si="0"/>
        <v>175000</v>
      </c>
      <c r="BL8" s="5" t="e">
        <f>#REF!-BJ8</f>
        <v>#REF!</v>
      </c>
      <c r="BM8" s="5" t="e">
        <f>#REF!-BK8</f>
        <v>#REF!</v>
      </c>
      <c r="BN8" s="5"/>
      <c r="BO8" s="5"/>
    </row>
    <row r="9" spans="1:67" x14ac:dyDescent="0.35"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J9" s="5">
        <f>E9*F9</f>
        <v>0</v>
      </c>
      <c r="BK9" s="5">
        <f t="shared" si="0"/>
        <v>175000</v>
      </c>
      <c r="BL9" s="5" t="e">
        <f>#REF!-BJ9</f>
        <v>#REF!</v>
      </c>
      <c r="BM9" s="5" t="e">
        <f>#REF!-BK9</f>
        <v>#REF!</v>
      </c>
    </row>
    <row r="10" spans="1:67" x14ac:dyDescent="0.35"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J10" s="5">
        <f>E10*F10</f>
        <v>0</v>
      </c>
      <c r="BK10" s="5">
        <f t="shared" si="0"/>
        <v>175000</v>
      </c>
      <c r="BL10" s="5" t="e">
        <f>#REF!-BJ10</f>
        <v>#REF!</v>
      </c>
      <c r="BM10" s="5" t="e">
        <f>#REF!-BK10</f>
        <v>#REF!</v>
      </c>
    </row>
    <row r="11" spans="1:67" x14ac:dyDescent="0.35"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J11" s="5">
        <f>E11*F11</f>
        <v>0</v>
      </c>
      <c r="BK11" s="5">
        <f t="shared" si="0"/>
        <v>175000</v>
      </c>
      <c r="BL11" s="5" t="e">
        <f>#REF!-BJ11</f>
        <v>#REF!</v>
      </c>
      <c r="BM11" s="5" t="e">
        <f>#REF!-BK11</f>
        <v>#REF!</v>
      </c>
    </row>
    <row r="12" spans="1:67" x14ac:dyDescent="0.35"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J12" s="5">
        <f>E12*F12</f>
        <v>0</v>
      </c>
      <c r="BK12" s="5">
        <f t="shared" si="0"/>
        <v>175000</v>
      </c>
      <c r="BL12" s="5" t="e">
        <f>#REF!-BJ12</f>
        <v>#REF!</v>
      </c>
      <c r="BM12" s="5" t="e">
        <f>#REF!-BK12</f>
        <v>#REF!</v>
      </c>
    </row>
    <row r="13" spans="1:67" x14ac:dyDescent="0.35"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J13" s="5">
        <f>E13*F13</f>
        <v>0</v>
      </c>
      <c r="BK13" s="5">
        <f t="shared" si="0"/>
        <v>175000</v>
      </c>
      <c r="BL13" s="5" t="e">
        <f>#REF!-BJ13</f>
        <v>#REF!</v>
      </c>
      <c r="BM13" s="5" t="e">
        <f>#REF!-BK13</f>
        <v>#REF!</v>
      </c>
    </row>
    <row r="14" spans="1:67" x14ac:dyDescent="0.35"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J14" s="5">
        <f>E14*F14</f>
        <v>0</v>
      </c>
      <c r="BK14" s="5">
        <f t="shared" si="0"/>
        <v>175000</v>
      </c>
      <c r="BL14" s="5" t="e">
        <f>#REF!-BJ14</f>
        <v>#REF!</v>
      </c>
      <c r="BM14" s="5" t="e">
        <f>#REF!-BK14</f>
        <v>#REF!</v>
      </c>
    </row>
    <row r="15" spans="1:67" x14ac:dyDescent="0.35"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J15" s="5">
        <f>E15*F15</f>
        <v>0</v>
      </c>
      <c r="BK15" s="5">
        <f t="shared" si="0"/>
        <v>175000</v>
      </c>
      <c r="BL15" s="5" t="e">
        <f>#REF!-BJ15</f>
        <v>#REF!</v>
      </c>
      <c r="BM15" s="5" t="e">
        <f>#REF!-BK15</f>
        <v>#REF!</v>
      </c>
    </row>
    <row r="16" spans="1:67" x14ac:dyDescent="0.35"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J16" s="5">
        <f>E16*F16</f>
        <v>0</v>
      </c>
      <c r="BK16" s="5">
        <f t="shared" si="0"/>
        <v>175000</v>
      </c>
      <c r="BL16" s="5" t="e">
        <f>#REF!-BJ16</f>
        <v>#REF!</v>
      </c>
      <c r="BM16" s="5" t="e">
        <f>#REF!-BK16</f>
        <v>#REF!</v>
      </c>
    </row>
    <row r="17" spans="7:65" x14ac:dyDescent="0.35"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J17" s="5">
        <f>E17*F17</f>
        <v>0</v>
      </c>
      <c r="BK17" s="5">
        <f t="shared" si="0"/>
        <v>175000</v>
      </c>
      <c r="BL17" s="5" t="e">
        <f>#REF!-BJ17</f>
        <v>#REF!</v>
      </c>
      <c r="BM17" s="5" t="e">
        <f>#REF!-BK17</f>
        <v>#REF!</v>
      </c>
    </row>
    <row r="18" spans="7:65" x14ac:dyDescent="0.35"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J18" s="5">
        <f>E18*F18</f>
        <v>0</v>
      </c>
      <c r="BK18" s="5">
        <f t="shared" si="0"/>
        <v>175000</v>
      </c>
      <c r="BL18" s="5" t="e">
        <f>#REF!-BJ18</f>
        <v>#REF!</v>
      </c>
      <c r="BM18" s="5" t="e">
        <f>#REF!-BK18</f>
        <v>#REF!</v>
      </c>
    </row>
    <row r="19" spans="7:65" x14ac:dyDescent="0.35"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J19" s="5">
        <f>E19*F19</f>
        <v>0</v>
      </c>
      <c r="BK19" s="5">
        <f t="shared" si="0"/>
        <v>175000</v>
      </c>
      <c r="BL19" s="5" t="e">
        <f>#REF!-BJ19</f>
        <v>#REF!</v>
      </c>
      <c r="BM19" s="5" t="e">
        <f>#REF!-BK19</f>
        <v>#REF!</v>
      </c>
    </row>
    <row r="20" spans="7:65" x14ac:dyDescent="0.35"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J20" s="5">
        <f>E20*F20</f>
        <v>0</v>
      </c>
      <c r="BK20" s="5">
        <f t="shared" si="0"/>
        <v>175000</v>
      </c>
      <c r="BL20" s="5" t="e">
        <f>#REF!-BJ20</f>
        <v>#REF!</v>
      </c>
      <c r="BM20" s="5" t="e">
        <f>#REF!-BK20</f>
        <v>#REF!</v>
      </c>
    </row>
    <row r="21" spans="7:65" x14ac:dyDescent="0.35"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J21" s="5">
        <f>E21*F21</f>
        <v>0</v>
      </c>
      <c r="BK21" s="5">
        <f t="shared" si="0"/>
        <v>175000</v>
      </c>
      <c r="BL21" s="5" t="e">
        <f>#REF!-BJ21</f>
        <v>#REF!</v>
      </c>
      <c r="BM21" s="5" t="e">
        <f>#REF!-BK21</f>
        <v>#REF!</v>
      </c>
    </row>
    <row r="22" spans="7:65" x14ac:dyDescent="0.35"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J22" s="5">
        <f>E22*F22</f>
        <v>0</v>
      </c>
      <c r="BK22" s="5">
        <f t="shared" si="0"/>
        <v>175000</v>
      </c>
      <c r="BL22" s="5" t="e">
        <f>#REF!-BJ22</f>
        <v>#REF!</v>
      </c>
      <c r="BM22" s="5" t="e">
        <f>#REF!-BK22</f>
        <v>#REF!</v>
      </c>
    </row>
    <row r="23" spans="7:65" x14ac:dyDescent="0.35"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J23" s="5">
        <f>E23*F23</f>
        <v>0</v>
      </c>
      <c r="BK23" s="5">
        <f t="shared" si="0"/>
        <v>175000</v>
      </c>
      <c r="BL23" s="5" t="e">
        <f>#REF!-BJ23</f>
        <v>#REF!</v>
      </c>
      <c r="BM23" s="5" t="e">
        <f>#REF!-BK23</f>
        <v>#REF!</v>
      </c>
    </row>
    <row r="24" spans="7:65" x14ac:dyDescent="0.35"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J24" s="5">
        <f>E24*F24</f>
        <v>0</v>
      </c>
      <c r="BK24" s="5">
        <f t="shared" si="0"/>
        <v>175000</v>
      </c>
      <c r="BL24" s="5" t="e">
        <f>#REF!-BJ24</f>
        <v>#REF!</v>
      </c>
      <c r="BM24" s="5" t="e">
        <f>#REF!-BK24</f>
        <v>#REF!</v>
      </c>
    </row>
    <row r="25" spans="7:65" x14ac:dyDescent="0.35"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J25" s="5">
        <f>E25*F25</f>
        <v>0</v>
      </c>
      <c r="BK25" s="5">
        <f t="shared" si="0"/>
        <v>175000</v>
      </c>
      <c r="BL25" s="5" t="e">
        <f>#REF!-BJ25</f>
        <v>#REF!</v>
      </c>
      <c r="BM25" s="5" t="e">
        <f>#REF!-BK25</f>
        <v>#REF!</v>
      </c>
    </row>
    <row r="26" spans="7:65" x14ac:dyDescent="0.35"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J26" s="5">
        <f>E26*F26</f>
        <v>0</v>
      </c>
      <c r="BK26" s="5">
        <f t="shared" si="0"/>
        <v>175000</v>
      </c>
      <c r="BL26" s="5" t="e">
        <f>#REF!-BJ26</f>
        <v>#REF!</v>
      </c>
      <c r="BM26" s="5" t="e">
        <f>#REF!-BK26</f>
        <v>#REF!</v>
      </c>
    </row>
    <row r="27" spans="7:65" x14ac:dyDescent="0.35"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J27" s="5"/>
      <c r="BK27" s="5"/>
      <c r="BL27" s="5"/>
      <c r="BM27" s="5"/>
    </row>
    <row r="28" spans="7:65" x14ac:dyDescent="0.35"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J28" s="5"/>
      <c r="BK28" s="5"/>
      <c r="BL28" s="5"/>
      <c r="BM28" s="5"/>
    </row>
    <row r="29" spans="7:65" x14ac:dyDescent="0.35"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J29" s="5"/>
      <c r="BK29" s="5"/>
      <c r="BL29" s="5"/>
      <c r="BM29" s="5"/>
    </row>
    <row r="30" spans="7:65" x14ac:dyDescent="0.35"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J30" s="5"/>
      <c r="BK30" s="5"/>
      <c r="BL30" s="5"/>
      <c r="BM30" s="5"/>
    </row>
    <row r="31" spans="7:65" x14ac:dyDescent="0.35"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J31" s="5"/>
      <c r="BK31" s="5"/>
      <c r="BL31" s="5"/>
      <c r="BM31" s="5"/>
    </row>
    <row r="32" spans="7:65" x14ac:dyDescent="0.35"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J32" s="5"/>
      <c r="BK32" s="5"/>
      <c r="BL32" s="5"/>
      <c r="BM32" s="5"/>
    </row>
  </sheetData>
  <mergeCells count="30">
    <mergeCell ref="BL2:BM2"/>
    <mergeCell ref="A6:C6"/>
    <mergeCell ref="AT2:AV2"/>
    <mergeCell ref="AW2:AY2"/>
    <mergeCell ref="AZ2:BB2"/>
    <mergeCell ref="BC2:BE2"/>
    <mergeCell ref="BF2:BH2"/>
    <mergeCell ref="BJ2:BK2"/>
    <mergeCell ref="AB2:AD2"/>
    <mergeCell ref="AE2:AG2"/>
    <mergeCell ref="AH2:AJ2"/>
    <mergeCell ref="AK2:AM2"/>
    <mergeCell ref="AN2:AP2"/>
    <mergeCell ref="AQ2:AS2"/>
    <mergeCell ref="G1:I2"/>
    <mergeCell ref="J1:R1"/>
    <mergeCell ref="S1:BB1"/>
    <mergeCell ref="BC1:BH1"/>
    <mergeCell ref="J2:L2"/>
    <mergeCell ref="M2:O2"/>
    <mergeCell ref="P2:R2"/>
    <mergeCell ref="S2:U2"/>
    <mergeCell ref="V2:X2"/>
    <mergeCell ref="Y2:AA2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sep24</vt:lpstr>
      <vt:lpstr>okt24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dandi</dc:creator>
  <cp:lastModifiedBy>Didin Arobidsh</cp:lastModifiedBy>
  <dcterms:created xsi:type="dcterms:W3CDTF">2026-03-17T14:07:52Z</dcterms:created>
  <dcterms:modified xsi:type="dcterms:W3CDTF">2026-05-05T15:23:52Z</dcterms:modified>
</cp:coreProperties>
</file>